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apa\Claude_project\Foodstar\WO_Status_tracking\prototype\"/>
    </mc:Choice>
  </mc:AlternateContent>
  <xr:revisionPtr revIDLastSave="0" documentId="8_{A41CE07D-8489-4699-9B7D-229067D005E1}" xr6:coauthVersionLast="47" xr6:coauthVersionMax="47" xr10:uidLastSave="{00000000-0000-0000-0000-000000000000}"/>
  <bookViews>
    <workbookView xWindow="-108" yWindow="-108" windowWidth="23256" windowHeight="12456" xr2:uid="{666AE5E8-7755-47A7-8C87-EBEA6A444AA9}"/>
  </bookViews>
  <sheets>
    <sheet name="Sheet1" sheetId="2" r:id="rId1"/>
  </sheets>
  <calcPr calcId="0"/>
</workbook>
</file>

<file path=xl/calcChain.xml><?xml version="1.0" encoding="utf-8"?>
<calcChain xmlns="http://schemas.openxmlformats.org/spreadsheetml/2006/main">
  <c r="K18" i="2" l="1"/>
  <c r="K13" i="2"/>
  <c r="K9" i="2"/>
  <c r="K6" i="2"/>
  <c r="K5" i="2" l="1"/>
  <c r="L5" i="2" s="1"/>
</calcChain>
</file>

<file path=xl/sharedStrings.xml><?xml version="1.0" encoding="utf-8"?>
<sst xmlns="http://schemas.openxmlformats.org/spreadsheetml/2006/main" count="171" uniqueCount="91">
  <si>
    <t>Quantity</t>
  </si>
  <si>
    <t>RM</t>
  </si>
  <si>
    <t>Item Code</t>
  </si>
  <si>
    <t>Item Name</t>
  </si>
  <si>
    <t>Unit</t>
  </si>
  <si>
    <t>Note</t>
  </si>
  <si>
    <t>Scrap loss</t>
  </si>
  <si>
    <t>Premixed 1000L PE DeeDo (Orange)</t>
  </si>
  <si>
    <t>Bag</t>
  </si>
  <si>
    <t>Sweetener 1000L (Oran PE, Mocktial)</t>
  </si>
  <si>
    <t>Clouding 1000L PE DeeDo (Fruit Juice)</t>
  </si>
  <si>
    <t>Gallon</t>
  </si>
  <si>
    <t>Color 1000L PE DeeDo (Orange)</t>
  </si>
  <si>
    <t>Flavor 1000L PE DeeDo (Orange)</t>
  </si>
  <si>
    <t>Preservative Benzoate 1000L DeeDo Yogurt, DeeDo</t>
  </si>
  <si>
    <t>Liquid Sucrose 66-68 Brix</t>
  </si>
  <si>
    <t>KG</t>
  </si>
  <si>
    <t>ขวด PE ใส 300 ml.</t>
  </si>
  <si>
    <t>Pcs</t>
  </si>
  <si>
    <t>ฉลากส้ม 300 ml. (2026)</t>
  </si>
  <si>
    <t>กล่องส้ม 300 ml. (2026)</t>
  </si>
  <si>
    <t>หลอดพลาสติก 18.5 CM</t>
  </si>
  <si>
    <t>Suit</t>
  </si>
  <si>
    <t>ฟอยล์ (บาง) Foodstar</t>
  </si>
  <si>
    <t>Kg</t>
  </si>
  <si>
    <t>PE ขุ่น 250 มม.</t>
  </si>
  <si>
    <t>เทปกาว 2.0" x 1500</t>
  </si>
  <si>
    <t>ROLL</t>
  </si>
  <si>
    <t>ส้ม 300 มล.#885-0952-90103-8 (แบบม้วน)</t>
  </si>
  <si>
    <t>10010900101 น้ำส้ม20% 300ml 1x8x6 (ขวด PE)</t>
  </si>
  <si>
    <t>CMC 1800</t>
  </si>
  <si>
    <t>Textra</t>
  </si>
  <si>
    <t>Sodium Citrate</t>
  </si>
  <si>
    <t>Vaccum Salt</t>
  </si>
  <si>
    <t>WO 100</t>
  </si>
  <si>
    <t>IA-FSC-260700058</t>
  </si>
  <si>
    <t>Inventory Adjustment</t>
  </si>
  <si>
    <t>Unit Cost</t>
  </si>
  <si>
    <t>Avg cost (as of</t>
  </si>
  <si>
    <t>GR-FSC-260700061</t>
  </si>
  <si>
    <t>Item Receipt</t>
  </si>
  <si>
    <t>GR-FSC-260700042</t>
  </si>
  <si>
    <t>GR-FSC-260700009</t>
  </si>
  <si>
    <t>GR-FSC-260700065</t>
  </si>
  <si>
    <t>GR-FSC-260700010</t>
  </si>
  <si>
    <t>GR-FSC-260700012</t>
  </si>
  <si>
    <t>GR-FSC-260700013</t>
  </si>
  <si>
    <t>GR-FSC-260700011</t>
  </si>
  <si>
    <t>Aspartame</t>
  </si>
  <si>
    <t>Acesulfame-K</t>
  </si>
  <si>
    <t>GR-FSC-260700058</t>
  </si>
  <si>
    <t>GR-FSC-260700006</t>
  </si>
  <si>
    <t>Clouding Agent Liquid A0702826</t>
  </si>
  <si>
    <t>GR-FSC-260700072</t>
  </si>
  <si>
    <t>GR-FSC-260700007</t>
  </si>
  <si>
    <t>GR-FSC-260700066</t>
  </si>
  <si>
    <t>Sunset Yellow</t>
  </si>
  <si>
    <t>G</t>
  </si>
  <si>
    <t>Tartrazine</t>
  </si>
  <si>
    <t>Stock unit</t>
  </si>
  <si>
    <t>GR-FSC-260700060</t>
  </si>
  <si>
    <t>GR-FSC-260700016</t>
  </si>
  <si>
    <t>GR-FSC-260700059</t>
  </si>
  <si>
    <t>Orange Oil 628+A</t>
  </si>
  <si>
    <t>Signature Orange Flavour F42Y385</t>
  </si>
  <si>
    <t>GR-FSC-2607000102</t>
  </si>
  <si>
    <t>GR-FSC-260700076</t>
  </si>
  <si>
    <t>GR-FSC-260700045</t>
  </si>
  <si>
    <t>GR-FSC-2607000103</t>
  </si>
  <si>
    <t>GR-FSC-260700015</t>
  </si>
  <si>
    <t>Sodium Benzoate Granular</t>
  </si>
  <si>
    <t>GR-FSC-260700008</t>
  </si>
  <si>
    <t>GR-FSC-260700023</t>
  </si>
  <si>
    <t>GR-FSC-260700079</t>
  </si>
  <si>
    <t>GR-FSC-260700027</t>
  </si>
  <si>
    <t>GR-FSC-260700080</t>
  </si>
  <si>
    <t>GR-FSC-260700025</t>
  </si>
  <si>
    <t>GR-FSC-260700030</t>
  </si>
  <si>
    <t>GR-FSC-260700026</t>
  </si>
  <si>
    <t>GR-FSC-260700028</t>
  </si>
  <si>
    <t>GR-FSC-260700118</t>
  </si>
  <si>
    <t>เม็ดพลาสติก HDPE</t>
  </si>
  <si>
    <t>BOM/PCS</t>
  </si>
  <si>
    <t>GR-FSC-260700075</t>
  </si>
  <si>
    <t>(KG)</t>
  </si>
  <si>
    <t>GR-FSC-260700021</t>
  </si>
  <si>
    <t>GR-FSC-260700032</t>
  </si>
  <si>
    <t>GR-FSC-260700074</t>
  </si>
  <si>
    <t>Work order Details tracking</t>
  </si>
  <si>
    <t>RM-Semi cost</t>
  </si>
  <si>
    <t>BOM &gt; Semi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</si>
</sst>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1E3A8A"/>
      <name val="Arial"/>
      <family val="2"/>
    </font>
    <font>
      <sz val="7"/>
      <color rgb="FF64748B"/>
      <name val="Courier New"/>
      <family val="3"/>
    </font>
    <font>
      <sz val="8"/>
      <color rgb="FF475569"/>
      <name val="Arial"/>
      <family val="2"/>
    </font>
    <font>
      <u/>
      <sz val="11"/>
      <color theme="10"/>
      <name val="Aptos Narrow"/>
      <family val="2"/>
      <scheme val="minor"/>
    </font>
    <font>
      <sz val="8"/>
      <color indexed="8"/>
      <name val="Arial"/>
      <family val="2"/>
    </font>
    <font>
      <sz val="7"/>
      <color rgb="FFFF0000"/>
      <name val="Courier New"/>
      <family val="3"/>
    </font>
    <font>
      <sz val="8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FAFC"/>
        <bgColor indexed="64"/>
      </patternFill>
    </fill>
    <fill>
      <patternFill patternType="solid">
        <fgColor rgb="FFFBF9F8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BD5E1"/>
      </left>
      <right/>
      <top style="medium">
        <color rgb="FFCBD5E1"/>
      </top>
      <bottom style="medium">
        <color rgb="FFCBD5E1"/>
      </bottom>
      <diagonal/>
    </border>
    <border>
      <left/>
      <right/>
      <top style="medium">
        <color rgb="FFCBD5E1"/>
      </top>
      <bottom style="medium">
        <color rgb="FFCBD5E1"/>
      </bottom>
      <diagonal/>
    </border>
    <border>
      <left/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thick">
        <color rgb="FFCBD5E1"/>
      </left>
      <right/>
      <top/>
      <bottom style="medium">
        <color rgb="FFE2E8F0"/>
      </bottom>
      <diagonal/>
    </border>
    <border>
      <left/>
      <right/>
      <top/>
      <bottom style="medium">
        <color rgb="FFE2E8F0"/>
      </bottom>
      <diagonal/>
    </border>
    <border>
      <left/>
      <right style="medium">
        <color rgb="FFE2E8F0"/>
      </right>
      <top/>
      <bottom style="medium">
        <color rgb="FFE2E8F0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45">
    <xf numFmtId="0" fontId="0" fillId="0" borderId="0" xfId="0"/>
    <xf numFmtId="4" fontId="0" fillId="0" borderId="0" xfId="0" applyNumberFormat="1"/>
    <xf numFmtId="0" fontId="19" fillId="33" borderId="13" xfId="0" applyFont="1" applyFill="1" applyBorder="1" applyAlignment="1">
      <alignment vertical="top" indent="5"/>
    </xf>
    <xf numFmtId="0" fontId="20" fillId="33" borderId="14" xfId="0" applyFont="1" applyFill="1" applyBorder="1" applyAlignment="1">
      <alignment vertical="top" wrapText="1" indent="1"/>
    </xf>
    <xf numFmtId="0" fontId="20" fillId="33" borderId="14" xfId="0" applyFont="1" applyFill="1" applyBorder="1" applyAlignment="1">
      <alignment horizontal="right" vertical="top" wrapText="1" indent="1"/>
    </xf>
    <xf numFmtId="0" fontId="20" fillId="33" borderId="14" xfId="0" applyFont="1" applyFill="1" applyBorder="1" applyAlignment="1">
      <alignment horizontal="center" vertical="top" wrapText="1"/>
    </xf>
    <xf numFmtId="0" fontId="20" fillId="33" borderId="15" xfId="0" applyFont="1" applyFill="1" applyBorder="1" applyAlignment="1">
      <alignment vertical="top" wrapText="1" indent="1"/>
    </xf>
    <xf numFmtId="0" fontId="19" fillId="0" borderId="13" xfId="0" applyFont="1" applyBorder="1" applyAlignment="1">
      <alignment vertical="top" indent="5"/>
    </xf>
    <xf numFmtId="0" fontId="20" fillId="0" borderId="14" xfId="0" applyFont="1" applyBorder="1" applyAlignment="1">
      <alignment vertical="top" wrapText="1" indent="1"/>
    </xf>
    <xf numFmtId="0" fontId="20" fillId="0" borderId="14" xfId="0" applyFont="1" applyBorder="1" applyAlignment="1">
      <alignment horizontal="right" vertical="top" wrapText="1" indent="1"/>
    </xf>
    <xf numFmtId="0" fontId="20" fillId="0" borderId="14" xfId="0" applyFont="1" applyBorder="1" applyAlignment="1">
      <alignment horizontal="center" vertical="top" wrapText="1"/>
    </xf>
    <xf numFmtId="0" fontId="20" fillId="0" borderId="15" xfId="0" applyFont="1" applyBorder="1" applyAlignment="1">
      <alignment vertical="top" wrapText="1" indent="1"/>
    </xf>
    <xf numFmtId="4" fontId="20" fillId="33" borderId="14" xfId="0" applyNumberFormat="1" applyFont="1" applyFill="1" applyBorder="1" applyAlignment="1">
      <alignment horizontal="right" vertical="top" wrapText="1" inden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0" fontId="18" fillId="0" borderId="11" xfId="0" applyFont="1" applyBorder="1" applyAlignment="1">
      <alignment horizontal="right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9" fillId="33" borderId="13" xfId="0" applyFont="1" applyFill="1" applyBorder="1" applyAlignment="1">
      <alignment vertical="top"/>
    </xf>
    <xf numFmtId="0" fontId="20" fillId="33" borderId="14" xfId="0" applyFont="1" applyFill="1" applyBorder="1" applyAlignment="1">
      <alignment vertical="top"/>
    </xf>
    <xf numFmtId="0" fontId="20" fillId="33" borderId="14" xfId="0" applyFont="1" applyFill="1" applyBorder="1" applyAlignment="1">
      <alignment horizontal="right" vertical="top"/>
    </xf>
    <xf numFmtId="0" fontId="20" fillId="33" borderId="14" xfId="0" applyFont="1" applyFill="1" applyBorder="1" applyAlignment="1">
      <alignment horizontal="center" vertical="top"/>
    </xf>
    <xf numFmtId="0" fontId="20" fillId="33" borderId="15" xfId="0" applyFont="1" applyFill="1" applyBorder="1" applyAlignment="1">
      <alignment vertical="top"/>
    </xf>
    <xf numFmtId="0" fontId="19" fillId="0" borderId="13" xfId="0" applyFont="1" applyBorder="1" applyAlignment="1">
      <alignment vertical="top"/>
    </xf>
    <xf numFmtId="0" fontId="20" fillId="0" borderId="14" xfId="0" applyFont="1" applyBorder="1" applyAlignment="1">
      <alignment vertical="top"/>
    </xf>
    <xf numFmtId="0" fontId="20" fillId="0" borderId="14" xfId="0" applyFont="1" applyBorder="1" applyAlignment="1">
      <alignment horizontal="right" vertical="top"/>
    </xf>
    <xf numFmtId="0" fontId="20" fillId="0" borderId="14" xfId="0" applyFont="1" applyBorder="1" applyAlignment="1">
      <alignment horizontal="center" vertical="top"/>
    </xf>
    <xf numFmtId="0" fontId="20" fillId="0" borderId="15" xfId="0" applyFont="1" applyBorder="1" applyAlignment="1">
      <alignment vertical="top"/>
    </xf>
    <xf numFmtId="4" fontId="20" fillId="0" borderId="14" xfId="0" applyNumberFormat="1" applyFont="1" applyBorder="1" applyAlignment="1">
      <alignment horizontal="right" vertical="top"/>
    </xf>
    <xf numFmtId="4" fontId="20" fillId="33" borderId="14" xfId="0" applyNumberFormat="1" applyFont="1" applyFill="1" applyBorder="1" applyAlignment="1">
      <alignment horizontal="right" vertical="top"/>
    </xf>
    <xf numFmtId="0" fontId="18" fillId="0" borderId="0" xfId="0" applyFont="1" applyFill="1" applyBorder="1" applyAlignment="1">
      <alignment horizontal="left" vertical="center"/>
    </xf>
    <xf numFmtId="0" fontId="21" fillId="0" borderId="0" xfId="43"/>
    <xf numFmtId="0" fontId="21" fillId="34" borderId="0" xfId="43" applyFill="1" applyAlignment="1">
      <alignment horizontal="left" vertical="center" wrapText="1"/>
    </xf>
    <xf numFmtId="4" fontId="22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14" fontId="22" fillId="0" borderId="0" xfId="0" applyNumberFormat="1" applyFont="1" applyAlignment="1">
      <alignment horizontal="left" vertical="center"/>
    </xf>
    <xf numFmtId="43" fontId="0" fillId="0" borderId="0" xfId="1" applyFont="1"/>
    <xf numFmtId="0" fontId="14" fillId="0" borderId="0" xfId="0" applyFont="1"/>
    <xf numFmtId="0" fontId="23" fillId="0" borderId="13" xfId="0" applyFont="1" applyBorder="1" applyAlignment="1">
      <alignment vertical="top"/>
    </xf>
    <xf numFmtId="0" fontId="24" fillId="0" borderId="14" xfId="0" applyFont="1" applyBorder="1" applyAlignment="1">
      <alignment vertical="top"/>
    </xf>
    <xf numFmtId="0" fontId="24" fillId="0" borderId="14" xfId="0" applyFont="1" applyBorder="1" applyAlignment="1">
      <alignment horizontal="right" vertical="top"/>
    </xf>
    <xf numFmtId="0" fontId="24" fillId="0" borderId="14" xfId="0" applyFont="1" applyBorder="1" applyAlignment="1">
      <alignment horizontal="center" vertical="top"/>
    </xf>
    <xf numFmtId="0" fontId="24" fillId="0" borderId="15" xfId="0" applyFont="1" applyBorder="1" applyAlignment="1">
      <alignment vertical="top"/>
    </xf>
    <xf numFmtId="0" fontId="20" fillId="33" borderId="0" xfId="0" applyFont="1" applyFill="1" applyBorder="1" applyAlignment="1">
      <alignment vertical="top" wrapText="1" indent="1"/>
    </xf>
    <xf numFmtId="43" fontId="0" fillId="0" borderId="0" xfId="0" applyNumberFormat="1"/>
  </cellXfs>
  <cellStyles count="44">
    <cellStyle name="20% - ส่วนที่ถูกเน้น1" xfId="20" builtinId="30" customBuiltin="1"/>
    <cellStyle name="20% - ส่วนที่ถูกเน้น2" xfId="24" builtinId="34" customBuiltin="1"/>
    <cellStyle name="20% - ส่วนที่ถูกเน้น3" xfId="28" builtinId="38" customBuiltin="1"/>
    <cellStyle name="20% - ส่วนที่ถูกเน้น4" xfId="32" builtinId="42" customBuiltin="1"/>
    <cellStyle name="20% - ส่วนที่ถูกเน้น5" xfId="36" builtinId="46" customBuiltin="1"/>
    <cellStyle name="20% - ส่วนที่ถูกเน้น6" xfId="40" builtinId="50" customBuiltin="1"/>
    <cellStyle name="40% - ส่วนที่ถูกเน้น1" xfId="21" builtinId="31" customBuiltin="1"/>
    <cellStyle name="40% - ส่วนที่ถูกเน้น2" xfId="25" builtinId="35" customBuiltin="1"/>
    <cellStyle name="40% - ส่วนที่ถูกเน้น3" xfId="29" builtinId="39" customBuiltin="1"/>
    <cellStyle name="40% - ส่วนที่ถูกเน้น4" xfId="33" builtinId="43" customBuiltin="1"/>
    <cellStyle name="40% - ส่วนที่ถูกเน้น5" xfId="37" builtinId="47" customBuiltin="1"/>
    <cellStyle name="40% - ส่วนที่ถูกเน้น6" xfId="41" builtinId="51" customBuiltin="1"/>
    <cellStyle name="60% - ส่วนที่ถูกเน้น1" xfId="22" builtinId="32" customBuiltin="1"/>
    <cellStyle name="60% - ส่วนที่ถูกเน้น2" xfId="26" builtinId="36" customBuiltin="1"/>
    <cellStyle name="60% - ส่วนที่ถูกเน้น3" xfId="30" builtinId="40" customBuiltin="1"/>
    <cellStyle name="60% - ส่วนที่ถูกเน้น4" xfId="34" builtinId="44" customBuiltin="1"/>
    <cellStyle name="60% - ส่วนที่ถูกเน้น5" xfId="38" builtinId="48" customBuiltin="1"/>
    <cellStyle name="60% - ส่วนที่ถูกเน้น6" xfId="42" builtinId="52" customBuiltin="1"/>
    <cellStyle name="Hyperlink" xfId="43" builtinId="8"/>
    <cellStyle name="เซลล์ตรวจสอบ" xfId="14" builtinId="23" customBuiltin="1"/>
    <cellStyle name="เซลล์ที่มีลิงก์" xfId="13" builtinId="24" customBuiltin="1"/>
    <cellStyle name="แย่" xfId="8" builtinId="27" customBuiltin="1"/>
    <cellStyle name="แสดงผล" xfId="11" builtinId="21" customBuiltin="1"/>
    <cellStyle name="การคำนวณ" xfId="12" builtinId="22" customBuiltin="1"/>
    <cellStyle name="ข้อความเตือน" xfId="15" builtinId="11" customBuiltin="1"/>
    <cellStyle name="ข้อความอธิบาย" xfId="17" builtinId="53" customBuiltin="1"/>
    <cellStyle name="จุลภาค" xfId="1" builtinId="3"/>
    <cellStyle name="ชื่อเรื่อง" xfId="2" builtinId="15" customBuiltin="1"/>
    <cellStyle name="ดี" xfId="7" builtinId="26" customBuiltin="1"/>
    <cellStyle name="ปกติ" xfId="0" builtinId="0"/>
    <cellStyle name="ป้อนค่า" xfId="10" builtinId="20" customBuiltin="1"/>
    <cellStyle name="ปานกลาง" xfId="9" builtinId="28" customBuiltin="1"/>
    <cellStyle name="ผลรวม" xfId="18" builtinId="25" customBuiltin="1"/>
    <cellStyle name="ส่วนที่ถูกเน้น1" xfId="19" builtinId="29" customBuiltin="1"/>
    <cellStyle name="ส่วนที่ถูกเน้น2" xfId="23" builtinId="33" customBuiltin="1"/>
    <cellStyle name="ส่วนที่ถูกเน้น3" xfId="27" builtinId="37" customBuiltin="1"/>
    <cellStyle name="ส่วนที่ถูกเน้น4" xfId="31" builtinId="41" customBuiltin="1"/>
    <cellStyle name="ส่วนที่ถูกเน้น5" xfId="35" builtinId="45" customBuiltin="1"/>
    <cellStyle name="ส่วนที่ถูกเน้น6" xfId="39" builtinId="49" customBuiltin="1"/>
    <cellStyle name="หมายเหตุ" xfId="16" builtinId="10" customBuiltin="1"/>
    <cellStyle name="หัวเรื่อง 1" xfId="3" builtinId="16" customBuiltin="1"/>
    <cellStyle name="หัวเรื่อง 2" xfId="4" builtinId="17" customBuiltin="1"/>
    <cellStyle name="หัวเรื่อง 3" xfId="5" builtinId="18" customBuiltin="1"/>
    <cellStyle name="หัวเรื่อง 4" xfId="6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9751184-sb1.app.netsuite.com/app/accounting/transactions/invadjst.nl?id=166471&amp;fromreport=356&amp;summaryurl=%252Fapp%252Freporting%252Freportrunner.nl%253Fcr%253D356%2526reload%253DT%2526whence%253D%2526siaT%253D1785399405232%2526siaWhc%253D%25252Fapp%25252Faccounting%25252Ftransactions%25252Fworkord.nl%2526siaNv%253Dct2" TargetMode="External"/><Relationship Id="rId1" Type="http://schemas.openxmlformats.org/officeDocument/2006/relationships/hyperlink" Target="https://9751184-sb1.app.netsuite.com/app/accounting/transactions/invadjst.nl?id=166471&amp;fromreport=356&amp;summaryurl=%252Fapp%252Freporting%252Freportrunner.nl%253Fcr%253D356%2526reload%253DT%2526whence%253D%2526siaT%253D1785399405232%2526siaWhc%253D%25252Fapp%25252Faccounting%25252Ftransactions%25252Fworkord.nl%2526siaNv%253Dct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1677-354F-4D2C-9CFC-0A1966E6CBC3}">
  <dimension ref="A1:M88"/>
  <sheetViews>
    <sheetView tabSelected="1" topLeftCell="A9" workbookViewId="0">
      <selection activeCell="A2" sqref="A2"/>
    </sheetView>
  </sheetViews>
  <sheetFormatPr defaultRowHeight="14.4" x14ac:dyDescent="0.3"/>
  <cols>
    <col min="1" max="1" width="22.88671875" bestFit="1" customWidth="1"/>
    <col min="2" max="2" width="9.33203125" bestFit="1" customWidth="1"/>
    <col min="3" max="3" width="22.109375" customWidth="1"/>
    <col min="4" max="4" width="16.21875" bestFit="1" customWidth="1"/>
    <col min="5" max="5" width="11.6640625" bestFit="1" customWidth="1"/>
    <col min="12" max="12" width="10.21875" bestFit="1" customWidth="1"/>
  </cols>
  <sheetData>
    <row r="1" spans="1:12" x14ac:dyDescent="0.3">
      <c r="A1" t="s">
        <v>88</v>
      </c>
    </row>
    <row r="2" spans="1:12" x14ac:dyDescent="0.3">
      <c r="B2" t="s">
        <v>29</v>
      </c>
    </row>
    <row r="3" spans="1:12" ht="15" thickBot="1" x14ac:dyDescent="0.35">
      <c r="A3" t="s">
        <v>1</v>
      </c>
    </row>
    <row r="4" spans="1:12" ht="15" thickBot="1" x14ac:dyDescent="0.35">
      <c r="B4" s="13" t="s">
        <v>2</v>
      </c>
      <c r="C4" s="14" t="s">
        <v>3</v>
      </c>
      <c r="D4" s="15" t="s">
        <v>0</v>
      </c>
      <c r="E4" s="16" t="s">
        <v>4</v>
      </c>
      <c r="F4" s="14" t="s">
        <v>5</v>
      </c>
      <c r="G4" s="17" t="s">
        <v>6</v>
      </c>
      <c r="H4" s="30" t="s">
        <v>34</v>
      </c>
      <c r="I4" s="30" t="s">
        <v>37</v>
      </c>
      <c r="J4" s="30" t="s">
        <v>38</v>
      </c>
    </row>
    <row r="5" spans="1:12" ht="15" thickBot="1" x14ac:dyDescent="0.35">
      <c r="A5" t="s">
        <v>89</v>
      </c>
      <c r="B5" s="18">
        <v>23010100009</v>
      </c>
      <c r="C5" s="19" t="s">
        <v>7</v>
      </c>
      <c r="D5" s="20">
        <v>46.55</v>
      </c>
      <c r="E5" s="21" t="s">
        <v>8</v>
      </c>
      <c r="F5" s="19"/>
      <c r="G5" s="22"/>
      <c r="K5">
        <f>SUM(K6,K9,K13,K18)/100</f>
        <v>272.46857059999996</v>
      </c>
      <c r="L5" s="36">
        <f>K5*D5</f>
        <v>12683.411961429998</v>
      </c>
    </row>
    <row r="6" spans="1:12" ht="15" thickBot="1" x14ac:dyDescent="0.35">
      <c r="A6" t="s">
        <v>90</v>
      </c>
      <c r="B6" s="18"/>
      <c r="C6" s="2">
        <v>21050000001</v>
      </c>
      <c r="D6" s="3" t="s">
        <v>30</v>
      </c>
      <c r="E6" s="4"/>
      <c r="F6" s="5" t="s">
        <v>16</v>
      </c>
      <c r="G6" s="3"/>
      <c r="H6" s="6">
        <v>120</v>
      </c>
      <c r="K6">
        <f>H6*J8</f>
        <v>12473.72</v>
      </c>
    </row>
    <row r="7" spans="1:12" ht="15" thickBot="1" x14ac:dyDescent="0.35">
      <c r="B7" s="35">
        <v>46225</v>
      </c>
      <c r="C7" s="32" t="s">
        <v>36</v>
      </c>
      <c r="D7" s="31" t="s">
        <v>35</v>
      </c>
      <c r="E7" s="4"/>
      <c r="F7" s="5"/>
      <c r="G7" s="3"/>
      <c r="H7" s="6"/>
      <c r="I7">
        <v>98</v>
      </c>
      <c r="J7">
        <v>98</v>
      </c>
    </row>
    <row r="8" spans="1:12" ht="15" thickBot="1" x14ac:dyDescent="0.35">
      <c r="B8" s="35">
        <v>46226</v>
      </c>
      <c r="C8" s="34" t="s">
        <v>40</v>
      </c>
      <c r="D8" s="34" t="s">
        <v>39</v>
      </c>
      <c r="E8" s="4"/>
      <c r="F8" s="5"/>
      <c r="G8" s="3"/>
      <c r="H8" s="6"/>
      <c r="I8">
        <v>104</v>
      </c>
      <c r="J8">
        <v>103.94766666666666</v>
      </c>
    </row>
    <row r="9" spans="1:12" ht="15" thickBot="1" x14ac:dyDescent="0.35">
      <c r="B9" s="18"/>
      <c r="C9" s="7">
        <v>21050300001</v>
      </c>
      <c r="D9" s="8" t="s">
        <v>31</v>
      </c>
      <c r="E9" s="9"/>
      <c r="F9" s="10" t="s">
        <v>16</v>
      </c>
      <c r="G9" s="8"/>
      <c r="H9" s="11">
        <v>150</v>
      </c>
      <c r="K9">
        <f>H9*J12</f>
        <v>12560.85</v>
      </c>
    </row>
    <row r="10" spans="1:12" ht="21" thickBot="1" x14ac:dyDescent="0.35">
      <c r="B10" s="35">
        <v>46204</v>
      </c>
      <c r="C10" s="7" t="s">
        <v>36</v>
      </c>
      <c r="D10" s="8" t="s">
        <v>35</v>
      </c>
      <c r="E10" s="9">
        <v>80.5</v>
      </c>
      <c r="F10" s="10"/>
      <c r="G10" s="8"/>
      <c r="H10" s="11"/>
      <c r="J10">
        <v>80.5</v>
      </c>
    </row>
    <row r="11" spans="1:12" ht="21" thickBot="1" x14ac:dyDescent="0.35">
      <c r="B11" s="35">
        <v>46226</v>
      </c>
      <c r="C11" s="7" t="s">
        <v>40</v>
      </c>
      <c r="D11" s="8" t="s">
        <v>41</v>
      </c>
      <c r="E11" s="9">
        <v>83.75</v>
      </c>
      <c r="F11" s="10"/>
      <c r="G11" s="8"/>
      <c r="H11" s="11"/>
      <c r="J11">
        <v>83.739000000000004</v>
      </c>
    </row>
    <row r="12" spans="1:12" ht="21" thickBot="1" x14ac:dyDescent="0.35">
      <c r="B12" s="35">
        <v>46226</v>
      </c>
      <c r="C12" s="7" t="s">
        <v>40</v>
      </c>
      <c r="D12" s="8" t="s">
        <v>42</v>
      </c>
      <c r="E12" s="9">
        <v>83.75</v>
      </c>
      <c r="F12" s="10"/>
      <c r="G12" s="8"/>
      <c r="H12" s="11"/>
      <c r="J12">
        <v>83.739000000000004</v>
      </c>
    </row>
    <row r="13" spans="1:12" ht="21" thickBot="1" x14ac:dyDescent="0.35">
      <c r="B13" s="18"/>
      <c r="C13" s="2">
        <v>21080000001</v>
      </c>
      <c r="D13" s="3" t="s">
        <v>32</v>
      </c>
      <c r="E13" s="4"/>
      <c r="F13" s="5" t="s">
        <v>16</v>
      </c>
      <c r="G13" s="3"/>
      <c r="H13" s="6">
        <v>70</v>
      </c>
      <c r="K13">
        <f>H13*J17</f>
        <v>2176.7870600000001</v>
      </c>
    </row>
    <row r="14" spans="1:12" ht="21" thickBot="1" x14ac:dyDescent="0.35">
      <c r="B14" s="35">
        <v>46204</v>
      </c>
      <c r="C14" s="2" t="s">
        <v>36</v>
      </c>
      <c r="D14" s="3" t="s">
        <v>35</v>
      </c>
      <c r="E14" s="4">
        <v>22</v>
      </c>
      <c r="F14" s="5"/>
      <c r="G14" s="3"/>
      <c r="H14" s="6"/>
      <c r="J14">
        <v>22</v>
      </c>
    </row>
    <row r="15" spans="1:12" ht="21" thickBot="1" x14ac:dyDescent="0.35">
      <c r="B15" s="35">
        <v>46226</v>
      </c>
      <c r="C15" s="2" t="s">
        <v>40</v>
      </c>
      <c r="D15" s="3" t="s">
        <v>43</v>
      </c>
      <c r="E15" s="4">
        <v>31</v>
      </c>
      <c r="F15" s="5"/>
      <c r="G15" s="3"/>
      <c r="H15" s="6"/>
      <c r="J15">
        <v>31.096958000000001</v>
      </c>
    </row>
    <row r="16" spans="1:12" ht="21" customHeight="1" thickBot="1" x14ac:dyDescent="0.35">
      <c r="B16" s="35">
        <v>46226</v>
      </c>
      <c r="C16" s="2" t="s">
        <v>40</v>
      </c>
      <c r="D16" s="3" t="s">
        <v>44</v>
      </c>
      <c r="E16" s="4">
        <v>31.15</v>
      </c>
      <c r="F16" s="5"/>
      <c r="G16" s="3"/>
      <c r="H16" s="6"/>
      <c r="J16">
        <v>31.096958000000001</v>
      </c>
    </row>
    <row r="17" spans="2:11" ht="21" thickBot="1" x14ac:dyDescent="0.35">
      <c r="B17" s="35">
        <v>46226</v>
      </c>
      <c r="C17" s="2" t="s">
        <v>40</v>
      </c>
      <c r="D17" s="3" t="s">
        <v>45</v>
      </c>
      <c r="E17" s="4">
        <v>31.5</v>
      </c>
      <c r="F17" s="5"/>
      <c r="G17" s="3"/>
      <c r="H17" s="6"/>
      <c r="J17">
        <v>31.096958000000001</v>
      </c>
    </row>
    <row r="18" spans="2:11" ht="21" thickBot="1" x14ac:dyDescent="0.35">
      <c r="B18" s="18"/>
      <c r="C18" s="7">
        <v>21090000001</v>
      </c>
      <c r="D18" s="8" t="s">
        <v>33</v>
      </c>
      <c r="E18" s="9"/>
      <c r="F18" s="10" t="s">
        <v>16</v>
      </c>
      <c r="G18" s="8"/>
      <c r="H18" s="11">
        <v>30</v>
      </c>
      <c r="K18">
        <f>H18+J21</f>
        <v>35.5</v>
      </c>
    </row>
    <row r="19" spans="2:11" ht="15" thickBot="1" x14ac:dyDescent="0.35">
      <c r="B19" s="35">
        <v>46204</v>
      </c>
      <c r="C19" s="19" t="s">
        <v>36</v>
      </c>
      <c r="D19" s="20" t="s">
        <v>35</v>
      </c>
      <c r="E19" s="21">
        <v>5.2</v>
      </c>
      <c r="F19" s="19"/>
      <c r="G19" s="22"/>
      <c r="J19">
        <v>5.2</v>
      </c>
    </row>
    <row r="20" spans="2:11" ht="15" thickBot="1" x14ac:dyDescent="0.35">
      <c r="B20" s="35">
        <v>46225</v>
      </c>
      <c r="C20" s="19" t="s">
        <v>40</v>
      </c>
      <c r="D20" s="20" t="s">
        <v>46</v>
      </c>
      <c r="E20" s="21">
        <v>5.5</v>
      </c>
      <c r="F20" s="19"/>
      <c r="G20" s="22"/>
      <c r="J20">
        <v>5.5</v>
      </c>
    </row>
    <row r="21" spans="2:11" ht="15" thickBot="1" x14ac:dyDescent="0.35">
      <c r="B21" s="35">
        <v>46226</v>
      </c>
      <c r="C21" s="19" t="s">
        <v>40</v>
      </c>
      <c r="D21" s="20" t="s">
        <v>47</v>
      </c>
      <c r="E21" s="21">
        <v>5.5</v>
      </c>
      <c r="F21" s="19"/>
      <c r="G21" s="22"/>
      <c r="J21">
        <v>5.5</v>
      </c>
    </row>
    <row r="22" spans="2:11" ht="15" thickBot="1" x14ac:dyDescent="0.35">
      <c r="B22" s="18"/>
      <c r="C22" s="19"/>
      <c r="D22" s="20"/>
      <c r="E22" s="21"/>
      <c r="F22" s="19"/>
      <c r="G22" s="22"/>
    </row>
    <row r="23" spans="2:11" ht="15" thickBot="1" x14ac:dyDescent="0.35">
      <c r="B23" s="23">
        <v>23020100004</v>
      </c>
      <c r="C23" s="24" t="s">
        <v>9</v>
      </c>
      <c r="D23" s="25">
        <v>46.55</v>
      </c>
      <c r="E23" s="26" t="s">
        <v>8</v>
      </c>
      <c r="F23" s="24"/>
      <c r="G23" s="27"/>
    </row>
    <row r="24" spans="2:11" ht="15" thickBot="1" x14ac:dyDescent="0.35">
      <c r="B24" s="23"/>
      <c r="C24" s="2">
        <v>21030300001</v>
      </c>
      <c r="D24" s="3" t="s">
        <v>48</v>
      </c>
      <c r="E24" s="4">
        <v>2</v>
      </c>
      <c r="F24" s="5" t="s">
        <v>16</v>
      </c>
      <c r="G24" s="3"/>
      <c r="H24" s="6"/>
    </row>
    <row r="25" spans="2:11" ht="15" thickBot="1" x14ac:dyDescent="0.35">
      <c r="B25" s="23">
        <v>46204</v>
      </c>
      <c r="C25" s="2" t="s">
        <v>36</v>
      </c>
      <c r="D25" s="3" t="s">
        <v>35</v>
      </c>
      <c r="E25" s="4">
        <v>317</v>
      </c>
      <c r="F25" s="5"/>
      <c r="G25" s="3"/>
      <c r="H25" s="6"/>
      <c r="J25">
        <v>317</v>
      </c>
    </row>
    <row r="26" spans="2:11" ht="15" thickBot="1" x14ac:dyDescent="0.35">
      <c r="B26" s="23">
        <v>46226</v>
      </c>
      <c r="C26" s="2" t="s">
        <v>40</v>
      </c>
      <c r="D26" s="3" t="s">
        <v>50</v>
      </c>
      <c r="E26" s="4">
        <v>317</v>
      </c>
      <c r="F26" s="5"/>
      <c r="G26" s="3"/>
      <c r="H26" s="6"/>
      <c r="J26">
        <v>317</v>
      </c>
    </row>
    <row r="27" spans="2:11" ht="21" thickBot="1" x14ac:dyDescent="0.35">
      <c r="B27" s="23"/>
      <c r="C27" s="7">
        <v>21030400001</v>
      </c>
      <c r="D27" s="8" t="s">
        <v>49</v>
      </c>
      <c r="E27" s="9">
        <v>2</v>
      </c>
      <c r="F27" s="10" t="s">
        <v>16</v>
      </c>
      <c r="G27" s="8"/>
      <c r="H27" s="11"/>
    </row>
    <row r="28" spans="2:11" ht="15" thickBot="1" x14ac:dyDescent="0.35">
      <c r="B28" s="23">
        <v>46204</v>
      </c>
      <c r="C28" s="24" t="s">
        <v>36</v>
      </c>
      <c r="D28" s="25" t="s">
        <v>35</v>
      </c>
      <c r="E28" s="26">
        <v>141</v>
      </c>
      <c r="F28" s="24"/>
      <c r="G28" s="27"/>
      <c r="J28">
        <v>141</v>
      </c>
    </row>
    <row r="29" spans="2:11" ht="15" thickBot="1" x14ac:dyDescent="0.35">
      <c r="B29" s="23">
        <v>46226</v>
      </c>
      <c r="C29" s="24" t="s">
        <v>40</v>
      </c>
      <c r="D29" s="25" t="s">
        <v>50</v>
      </c>
      <c r="E29" s="26">
        <v>159.75</v>
      </c>
      <c r="F29" s="24"/>
      <c r="G29" s="27"/>
      <c r="J29" s="33">
        <v>159.48500000000001</v>
      </c>
    </row>
    <row r="30" spans="2:11" ht="15" thickBot="1" x14ac:dyDescent="0.35">
      <c r="B30" s="18">
        <v>46226</v>
      </c>
      <c r="C30" s="19" t="s">
        <v>40</v>
      </c>
      <c r="D30" s="20" t="s">
        <v>51</v>
      </c>
      <c r="E30" s="21">
        <v>159.75</v>
      </c>
      <c r="F30" s="19"/>
      <c r="G30" s="22"/>
      <c r="J30">
        <v>159.48500000000001</v>
      </c>
    </row>
    <row r="31" spans="2:11" ht="15" thickBot="1" x14ac:dyDescent="0.35">
      <c r="B31" s="23">
        <v>23040100017</v>
      </c>
      <c r="C31" s="24" t="s">
        <v>10</v>
      </c>
      <c r="D31" s="25">
        <v>46.55</v>
      </c>
      <c r="E31" s="26" t="s">
        <v>11</v>
      </c>
      <c r="F31" s="24"/>
      <c r="G31" s="27"/>
    </row>
    <row r="32" spans="2:11" ht="21" thickBot="1" x14ac:dyDescent="0.35">
      <c r="B32" s="23"/>
      <c r="C32" s="2">
        <v>21020000001</v>
      </c>
      <c r="D32" s="3" t="s">
        <v>52</v>
      </c>
      <c r="E32" s="4">
        <v>6</v>
      </c>
      <c r="F32" s="5" t="s">
        <v>16</v>
      </c>
      <c r="G32" s="3"/>
      <c r="H32" s="6"/>
    </row>
    <row r="33" spans="2:10" ht="15" thickBot="1" x14ac:dyDescent="0.35">
      <c r="B33" s="23">
        <v>46204</v>
      </c>
      <c r="C33" s="24" t="s">
        <v>36</v>
      </c>
      <c r="D33" s="25" t="s">
        <v>35</v>
      </c>
      <c r="E33" s="26">
        <v>130</v>
      </c>
      <c r="F33" s="24"/>
      <c r="G33" s="27"/>
      <c r="J33">
        <v>130</v>
      </c>
    </row>
    <row r="34" spans="2:10" ht="15" thickBot="1" x14ac:dyDescent="0.35">
      <c r="B34" s="23">
        <v>46226</v>
      </c>
      <c r="C34" s="24" t="s">
        <v>40</v>
      </c>
      <c r="D34" s="25" t="s">
        <v>53</v>
      </c>
      <c r="E34" s="26">
        <v>130</v>
      </c>
      <c r="F34" s="24"/>
      <c r="G34" s="27"/>
      <c r="J34">
        <v>130</v>
      </c>
    </row>
    <row r="35" spans="2:10" ht="15" thickBot="1" x14ac:dyDescent="0.35">
      <c r="B35" s="23">
        <v>46226</v>
      </c>
      <c r="C35" s="24" t="s">
        <v>40</v>
      </c>
      <c r="D35" s="25" t="s">
        <v>54</v>
      </c>
      <c r="E35" s="26">
        <v>130</v>
      </c>
      <c r="F35" s="24"/>
      <c r="G35" s="27"/>
      <c r="J35">
        <v>130</v>
      </c>
    </row>
    <row r="36" spans="2:10" s="37" customFormat="1" ht="15" thickBot="1" x14ac:dyDescent="0.35">
      <c r="B36" s="38">
        <v>46227</v>
      </c>
      <c r="C36" s="39" t="s">
        <v>40</v>
      </c>
      <c r="D36" s="40" t="s">
        <v>55</v>
      </c>
      <c r="E36" s="41">
        <v>82524.289999999994</v>
      </c>
      <c r="F36" s="39"/>
      <c r="G36" s="42"/>
    </row>
    <row r="37" spans="2:10" ht="15" thickBot="1" x14ac:dyDescent="0.35">
      <c r="B37" s="18">
        <v>23040100053</v>
      </c>
      <c r="C37" s="19" t="s">
        <v>12</v>
      </c>
      <c r="D37" s="20">
        <v>46.55</v>
      </c>
      <c r="E37" s="21" t="s">
        <v>8</v>
      </c>
      <c r="F37" s="19"/>
      <c r="G37" s="22" t="s">
        <v>59</v>
      </c>
    </row>
    <row r="38" spans="2:10" ht="15" thickBot="1" x14ac:dyDescent="0.35">
      <c r="B38" s="18"/>
      <c r="C38" s="19">
        <v>21020100001</v>
      </c>
      <c r="D38" s="20" t="s">
        <v>56</v>
      </c>
      <c r="E38" s="21">
        <v>300</v>
      </c>
      <c r="F38" s="19" t="s">
        <v>57</v>
      </c>
      <c r="G38" s="22" t="s">
        <v>16</v>
      </c>
    </row>
    <row r="39" spans="2:10" ht="15" thickBot="1" x14ac:dyDescent="0.35">
      <c r="B39" s="18">
        <v>46204</v>
      </c>
      <c r="C39" s="19" t="s">
        <v>36</v>
      </c>
      <c r="D39" s="20" t="s">
        <v>35</v>
      </c>
      <c r="E39" s="21">
        <v>265</v>
      </c>
      <c r="F39" s="19"/>
      <c r="G39" s="22"/>
    </row>
    <row r="40" spans="2:10" ht="15" thickBot="1" x14ac:dyDescent="0.35">
      <c r="B40" s="18">
        <v>46226</v>
      </c>
      <c r="C40" s="19" t="s">
        <v>40</v>
      </c>
      <c r="D40" s="20" t="s">
        <v>60</v>
      </c>
      <c r="E40" s="21">
        <v>270</v>
      </c>
      <c r="F40" s="19"/>
      <c r="G40" s="22"/>
      <c r="J40" s="33">
        <v>269.54666666666668</v>
      </c>
    </row>
    <row r="41" spans="2:10" ht="15" thickBot="1" x14ac:dyDescent="0.35">
      <c r="B41" s="18">
        <v>46226</v>
      </c>
      <c r="C41" s="19" t="s">
        <v>40</v>
      </c>
      <c r="D41" s="20" t="s">
        <v>61</v>
      </c>
      <c r="E41" s="21">
        <v>270</v>
      </c>
      <c r="F41" s="19"/>
      <c r="G41" s="22"/>
      <c r="J41" s="33">
        <v>269.54666666666668</v>
      </c>
    </row>
    <row r="42" spans="2:10" ht="15" thickBot="1" x14ac:dyDescent="0.35">
      <c r="B42" s="18"/>
      <c r="C42" s="19">
        <v>21020200001</v>
      </c>
      <c r="D42" s="20" t="s">
        <v>58</v>
      </c>
      <c r="E42" s="21">
        <v>60</v>
      </c>
      <c r="F42" s="19" t="s">
        <v>57</v>
      </c>
      <c r="G42" s="22" t="s">
        <v>16</v>
      </c>
    </row>
    <row r="43" spans="2:10" ht="15" thickBot="1" x14ac:dyDescent="0.35">
      <c r="B43" s="18">
        <v>46204</v>
      </c>
      <c r="C43" s="19" t="s">
        <v>36</v>
      </c>
      <c r="D43" s="20" t="s">
        <v>35</v>
      </c>
      <c r="E43" s="21">
        <v>150</v>
      </c>
      <c r="F43" s="19"/>
      <c r="G43" s="22"/>
      <c r="J43">
        <v>150</v>
      </c>
    </row>
    <row r="44" spans="2:10" ht="15" thickBot="1" x14ac:dyDescent="0.35">
      <c r="B44" s="18">
        <v>46226</v>
      </c>
      <c r="C44" s="19" t="s">
        <v>40</v>
      </c>
      <c r="D44" s="20" t="s">
        <v>62</v>
      </c>
      <c r="E44" s="21">
        <v>150</v>
      </c>
      <c r="F44" s="19"/>
      <c r="G44" s="22"/>
      <c r="J44">
        <v>150</v>
      </c>
    </row>
    <row r="45" spans="2:10" ht="15" thickBot="1" x14ac:dyDescent="0.35">
      <c r="B45" s="18"/>
      <c r="C45" s="19"/>
      <c r="D45" s="20"/>
      <c r="E45" s="21"/>
      <c r="F45" s="19"/>
      <c r="G45" s="22"/>
    </row>
    <row r="46" spans="2:10" ht="15" thickBot="1" x14ac:dyDescent="0.35">
      <c r="B46" s="23">
        <v>23050100074</v>
      </c>
      <c r="C46" s="24" t="s">
        <v>13</v>
      </c>
      <c r="D46" s="25">
        <v>46.55</v>
      </c>
      <c r="E46" s="26" t="s">
        <v>11</v>
      </c>
      <c r="F46" s="24"/>
      <c r="G46" s="27"/>
    </row>
    <row r="47" spans="2:10" ht="15" thickBot="1" x14ac:dyDescent="0.35">
      <c r="B47" s="23"/>
      <c r="C47" s="2">
        <v>21010100001</v>
      </c>
      <c r="D47" s="3" t="s">
        <v>63</v>
      </c>
      <c r="E47" s="4">
        <v>2.4</v>
      </c>
      <c r="F47" s="5" t="s">
        <v>16</v>
      </c>
      <c r="G47" s="3"/>
      <c r="H47" s="6"/>
    </row>
    <row r="48" spans="2:10" ht="15" thickBot="1" x14ac:dyDescent="0.35">
      <c r="B48" s="23">
        <v>46225</v>
      </c>
      <c r="C48" s="2" t="s">
        <v>40</v>
      </c>
      <c r="D48" s="3" t="s">
        <v>65</v>
      </c>
      <c r="E48" s="4">
        <v>998</v>
      </c>
      <c r="F48" s="5"/>
      <c r="G48" s="3"/>
      <c r="H48" s="43"/>
    </row>
    <row r="49" spans="2:10" ht="15" thickBot="1" x14ac:dyDescent="0.35">
      <c r="B49" s="23">
        <v>46226</v>
      </c>
      <c r="C49" s="2" t="s">
        <v>40</v>
      </c>
      <c r="D49" s="3" t="s">
        <v>66</v>
      </c>
      <c r="E49" s="4">
        <v>998</v>
      </c>
      <c r="F49" s="5"/>
      <c r="G49" s="3"/>
      <c r="H49" s="43"/>
    </row>
    <row r="50" spans="2:10" ht="15" thickBot="1" x14ac:dyDescent="0.35">
      <c r="B50" s="23">
        <v>46230</v>
      </c>
      <c r="C50" s="2" t="s">
        <v>40</v>
      </c>
      <c r="D50" s="3" t="s">
        <v>67</v>
      </c>
      <c r="E50" s="4">
        <v>998</v>
      </c>
      <c r="F50" s="5"/>
      <c r="G50" s="3"/>
      <c r="H50" s="43"/>
    </row>
    <row r="51" spans="2:10" ht="21" thickBot="1" x14ac:dyDescent="0.35">
      <c r="B51" s="23"/>
      <c r="C51" s="7">
        <v>21010100005</v>
      </c>
      <c r="D51" s="8" t="s">
        <v>64</v>
      </c>
      <c r="E51" s="9">
        <v>0.5</v>
      </c>
      <c r="F51" s="10" t="s">
        <v>16</v>
      </c>
      <c r="G51" s="8"/>
    </row>
    <row r="52" spans="2:10" ht="15" thickBot="1" x14ac:dyDescent="0.35">
      <c r="B52" s="23">
        <v>46225</v>
      </c>
      <c r="C52" s="24" t="s">
        <v>40</v>
      </c>
      <c r="D52" s="25" t="s">
        <v>68</v>
      </c>
      <c r="E52" s="26">
        <v>850</v>
      </c>
      <c r="F52" s="24"/>
      <c r="G52" s="27"/>
    </row>
    <row r="53" spans="2:10" ht="15" thickBot="1" x14ac:dyDescent="0.35">
      <c r="B53" s="23">
        <v>46226</v>
      </c>
      <c r="C53" s="24" t="s">
        <v>40</v>
      </c>
      <c r="D53" s="25" t="s">
        <v>69</v>
      </c>
      <c r="E53" s="26">
        <v>880</v>
      </c>
      <c r="F53" s="24"/>
      <c r="G53" s="27"/>
      <c r="J53">
        <v>854.28800000000001</v>
      </c>
    </row>
    <row r="54" spans="2:10" ht="15" thickBot="1" x14ac:dyDescent="0.35">
      <c r="B54" s="23"/>
      <c r="C54" s="24"/>
      <c r="D54" s="25"/>
      <c r="E54" s="26"/>
      <c r="F54" s="24"/>
      <c r="G54" s="27"/>
    </row>
    <row r="55" spans="2:10" ht="15" thickBot="1" x14ac:dyDescent="0.35">
      <c r="B55" s="18">
        <v>23060100009</v>
      </c>
      <c r="C55" s="19" t="s">
        <v>14</v>
      </c>
      <c r="D55" s="20">
        <v>46.55</v>
      </c>
      <c r="E55" s="21" t="s">
        <v>8</v>
      </c>
      <c r="F55" s="19"/>
      <c r="G55" s="22"/>
    </row>
    <row r="56" spans="2:10" ht="21" thickBot="1" x14ac:dyDescent="0.35">
      <c r="B56" s="18"/>
      <c r="C56" s="2">
        <v>21070100001</v>
      </c>
      <c r="D56" s="3" t="s">
        <v>70</v>
      </c>
      <c r="E56" s="12">
        <v>1980</v>
      </c>
      <c r="F56" s="5" t="s">
        <v>57</v>
      </c>
      <c r="G56" s="3"/>
      <c r="H56" s="6"/>
    </row>
    <row r="57" spans="2:10" ht="15" thickBot="1" x14ac:dyDescent="0.35">
      <c r="B57" s="18">
        <v>46204</v>
      </c>
      <c r="C57" s="19" t="s">
        <v>36</v>
      </c>
      <c r="D57" s="20" t="s">
        <v>35</v>
      </c>
      <c r="E57" s="21">
        <v>49</v>
      </c>
      <c r="F57" s="19"/>
      <c r="G57" s="22"/>
      <c r="J57">
        <v>49</v>
      </c>
    </row>
    <row r="58" spans="2:10" ht="15" thickBot="1" x14ac:dyDescent="0.35">
      <c r="B58" s="18">
        <v>46225</v>
      </c>
      <c r="C58" s="19" t="s">
        <v>40</v>
      </c>
      <c r="D58" s="20" t="s">
        <v>71</v>
      </c>
      <c r="E58" s="21">
        <v>66</v>
      </c>
      <c r="F58" s="19"/>
      <c r="G58" s="22"/>
      <c r="J58">
        <v>65.704545454545453</v>
      </c>
    </row>
    <row r="59" spans="2:10" ht="15" thickBot="1" x14ac:dyDescent="0.35">
      <c r="B59" s="18">
        <v>46226</v>
      </c>
      <c r="C59" s="19" t="s">
        <v>40</v>
      </c>
      <c r="D59" s="20" t="s">
        <v>72</v>
      </c>
      <c r="E59" s="21">
        <v>56</v>
      </c>
      <c r="F59" s="19"/>
      <c r="G59" s="22"/>
      <c r="J59">
        <v>62.355892255892257</v>
      </c>
    </row>
    <row r="60" spans="2:10" ht="15" thickBot="1" x14ac:dyDescent="0.35">
      <c r="B60" s="23">
        <v>21030200001</v>
      </c>
      <c r="C60" s="24" t="s">
        <v>15</v>
      </c>
      <c r="D60" s="28">
        <v>1536</v>
      </c>
      <c r="E60" s="26" t="s">
        <v>16</v>
      </c>
      <c r="F60" s="24"/>
      <c r="G60" s="27"/>
    </row>
    <row r="61" spans="2:10" ht="15" thickBot="1" x14ac:dyDescent="0.35">
      <c r="B61">
        <v>46225</v>
      </c>
      <c r="C61" t="s">
        <v>40</v>
      </c>
      <c r="D61" t="s">
        <v>73</v>
      </c>
      <c r="E61">
        <v>14.98</v>
      </c>
      <c r="F61" s="24"/>
      <c r="G61" s="27"/>
    </row>
    <row r="62" spans="2:10" ht="15" thickBot="1" x14ac:dyDescent="0.35">
      <c r="B62" s="23">
        <v>46227</v>
      </c>
      <c r="C62" s="24" t="s">
        <v>40</v>
      </c>
      <c r="D62" s="28" t="s">
        <v>74</v>
      </c>
      <c r="E62" s="26">
        <v>14.98</v>
      </c>
      <c r="F62" s="24"/>
      <c r="G62" s="27"/>
    </row>
    <row r="63" spans="2:10" ht="15" thickBot="1" x14ac:dyDescent="0.35">
      <c r="B63" s="23"/>
      <c r="C63" s="24"/>
      <c r="D63" s="28"/>
      <c r="E63" s="26"/>
      <c r="F63" s="24"/>
      <c r="G63" s="27"/>
    </row>
    <row r="64" spans="2:10" ht="15" thickBot="1" x14ac:dyDescent="0.35">
      <c r="B64" s="23"/>
      <c r="C64" s="24"/>
      <c r="D64" s="28"/>
      <c r="E64" s="26"/>
      <c r="F64" s="24"/>
      <c r="G64" s="27"/>
    </row>
    <row r="65" spans="2:13" ht="15" thickBot="1" x14ac:dyDescent="0.35">
      <c r="B65" s="18">
        <v>22010900001</v>
      </c>
      <c r="C65" s="19" t="s">
        <v>17</v>
      </c>
      <c r="D65" s="29">
        <v>153600</v>
      </c>
      <c r="E65" s="21" t="s">
        <v>18</v>
      </c>
      <c r="F65" s="19"/>
      <c r="G65" s="22"/>
    </row>
    <row r="66" spans="2:13" ht="15" thickBot="1" x14ac:dyDescent="0.35">
      <c r="B66" s="18">
        <v>46225</v>
      </c>
      <c r="C66" s="19" t="s">
        <v>40</v>
      </c>
      <c r="D66" s="29" t="s">
        <v>75</v>
      </c>
      <c r="E66" s="21">
        <v>1.2</v>
      </c>
      <c r="F66" s="19"/>
      <c r="G66" s="22"/>
    </row>
    <row r="67" spans="2:13" ht="15" thickBot="1" x14ac:dyDescent="0.35">
      <c r="B67" s="18">
        <v>46226</v>
      </c>
      <c r="C67" s="19" t="s">
        <v>40</v>
      </c>
      <c r="D67" s="29" t="s">
        <v>76</v>
      </c>
      <c r="E67" s="21">
        <v>1.2</v>
      </c>
      <c r="F67" s="19"/>
      <c r="G67" s="22"/>
    </row>
    <row r="68" spans="2:13" ht="15" thickBot="1" x14ac:dyDescent="0.35">
      <c r="B68" s="18">
        <v>46226</v>
      </c>
      <c r="C68" s="19" t="s">
        <v>40</v>
      </c>
      <c r="D68" s="29" t="s">
        <v>77</v>
      </c>
      <c r="E68" s="21">
        <v>1.2</v>
      </c>
      <c r="F68" s="19"/>
      <c r="G68" s="22"/>
    </row>
    <row r="69" spans="2:13" ht="15" thickBot="1" x14ac:dyDescent="0.35">
      <c r="B69" s="18">
        <v>46226</v>
      </c>
      <c r="C69" s="19" t="s">
        <v>40</v>
      </c>
      <c r="D69" s="29" t="s">
        <v>78</v>
      </c>
      <c r="E69" s="21">
        <v>1.2</v>
      </c>
      <c r="F69" s="19"/>
      <c r="G69" s="22"/>
    </row>
    <row r="70" spans="2:13" ht="15" thickBot="1" x14ac:dyDescent="0.35">
      <c r="B70" s="18">
        <v>46227</v>
      </c>
      <c r="C70" s="19" t="s">
        <v>40</v>
      </c>
      <c r="D70" s="29" t="s">
        <v>79</v>
      </c>
      <c r="E70" s="21">
        <v>1.1821451111111112</v>
      </c>
      <c r="F70" s="19"/>
      <c r="G70" s="22"/>
    </row>
    <row r="71" spans="2:13" ht="15" thickBot="1" x14ac:dyDescent="0.35">
      <c r="B71" s="18">
        <v>46228</v>
      </c>
      <c r="C71" s="19" t="s">
        <v>40</v>
      </c>
      <c r="D71" s="29" t="s">
        <v>80</v>
      </c>
      <c r="E71" s="21">
        <v>1.2</v>
      </c>
      <c r="F71" s="19"/>
      <c r="G71" s="22"/>
    </row>
    <row r="72" spans="2:13" ht="15" thickBot="1" x14ac:dyDescent="0.35">
      <c r="B72" s="35">
        <v>46228</v>
      </c>
      <c r="C72" s="34" t="s">
        <v>40</v>
      </c>
      <c r="D72" s="34" t="s">
        <v>80</v>
      </c>
      <c r="E72" s="33">
        <v>1.2</v>
      </c>
      <c r="G72" s="22"/>
    </row>
    <row r="73" spans="2:13" ht="15" thickBot="1" x14ac:dyDescent="0.35">
      <c r="B73" s="18"/>
      <c r="C73">
        <v>22200000002</v>
      </c>
      <c r="D73" t="s">
        <v>81</v>
      </c>
      <c r="E73" s="36">
        <v>1.417E-2</v>
      </c>
      <c r="F73" t="s">
        <v>16</v>
      </c>
      <c r="G73" s="22" t="s">
        <v>82</v>
      </c>
      <c r="I73" s="44"/>
    </row>
    <row r="74" spans="2:13" ht="15" thickBot="1" x14ac:dyDescent="0.35">
      <c r="B74">
        <v>46225</v>
      </c>
      <c r="C74" t="s">
        <v>40</v>
      </c>
      <c r="D74" t="s">
        <v>83</v>
      </c>
      <c r="E74" s="33">
        <v>43.5</v>
      </c>
      <c r="F74" t="s">
        <v>84</v>
      </c>
      <c r="G74" s="22"/>
      <c r="I74" s="44"/>
    </row>
    <row r="75" spans="2:13" ht="15" thickBot="1" x14ac:dyDescent="0.35">
      <c r="B75">
        <v>46226</v>
      </c>
      <c r="C75" t="s">
        <v>40</v>
      </c>
      <c r="D75" t="s">
        <v>85</v>
      </c>
      <c r="E75">
        <v>43.5</v>
      </c>
      <c r="G75" s="22"/>
    </row>
    <row r="76" spans="2:13" ht="15" thickBot="1" x14ac:dyDescent="0.35">
      <c r="B76">
        <v>46227</v>
      </c>
      <c r="C76" t="s">
        <v>40</v>
      </c>
      <c r="D76" t="s">
        <v>62</v>
      </c>
      <c r="E76">
        <v>43.5</v>
      </c>
      <c r="G76" s="22"/>
    </row>
    <row r="77" spans="2:13" ht="15" thickBot="1" x14ac:dyDescent="0.35">
      <c r="B77">
        <v>46227</v>
      </c>
      <c r="C77" t="s">
        <v>40</v>
      </c>
      <c r="D77" t="s">
        <v>86</v>
      </c>
      <c r="E77">
        <v>43.5</v>
      </c>
      <c r="G77" s="22"/>
    </row>
    <row r="78" spans="2:13" ht="15" thickBot="1" x14ac:dyDescent="0.35">
      <c r="B78">
        <v>46230</v>
      </c>
      <c r="C78" t="s">
        <v>40</v>
      </c>
      <c r="D78" s="1" t="s">
        <v>87</v>
      </c>
      <c r="E78">
        <v>43.5</v>
      </c>
      <c r="G78" s="22"/>
      <c r="M78" s="1"/>
    </row>
    <row r="79" spans="2:13" ht="15" thickBot="1" x14ac:dyDescent="0.35">
      <c r="B79" s="23">
        <v>22040900041</v>
      </c>
      <c r="C79" s="24" t="s">
        <v>19</v>
      </c>
      <c r="D79" s="28">
        <v>153600</v>
      </c>
      <c r="E79" s="26" t="s">
        <v>18</v>
      </c>
      <c r="F79" s="24"/>
      <c r="G79" s="27"/>
    </row>
    <row r="80" spans="2:13" ht="15" thickBot="1" x14ac:dyDescent="0.35">
      <c r="B80" s="23"/>
      <c r="C80" s="24"/>
      <c r="D80" s="28"/>
      <c r="E80" s="26"/>
      <c r="F80" s="24"/>
      <c r="G80" s="27"/>
    </row>
    <row r="81" spans="2:7" ht="15" thickBot="1" x14ac:dyDescent="0.35">
      <c r="B81" s="23"/>
      <c r="C81" s="24"/>
      <c r="D81" s="28"/>
      <c r="E81" s="26"/>
      <c r="F81" s="24"/>
      <c r="G81" s="27"/>
    </row>
    <row r="82" spans="2:7" ht="15" thickBot="1" x14ac:dyDescent="0.35">
      <c r="B82" s="23"/>
      <c r="C82" s="24"/>
      <c r="D82" s="28"/>
      <c r="E82" s="26"/>
      <c r="F82" s="24"/>
      <c r="G82" s="27"/>
    </row>
    <row r="83" spans="2:7" ht="15" thickBot="1" x14ac:dyDescent="0.35">
      <c r="B83" s="18">
        <v>22050900036</v>
      </c>
      <c r="C83" s="19" t="s">
        <v>20</v>
      </c>
      <c r="D83" s="29">
        <v>3211.64</v>
      </c>
      <c r="E83" s="21" t="s">
        <v>18</v>
      </c>
      <c r="F83" s="19"/>
      <c r="G83" s="22"/>
    </row>
    <row r="84" spans="2:7" ht="15" thickBot="1" x14ac:dyDescent="0.35">
      <c r="B84" s="23">
        <v>22070900001</v>
      </c>
      <c r="C84" s="24" t="s">
        <v>21</v>
      </c>
      <c r="D84" s="28">
        <v>25693.09</v>
      </c>
      <c r="E84" s="26" t="s">
        <v>22</v>
      </c>
      <c r="F84" s="24"/>
      <c r="G84" s="27"/>
    </row>
    <row r="85" spans="2:7" ht="15" thickBot="1" x14ac:dyDescent="0.35">
      <c r="B85" s="18">
        <v>22080900001</v>
      </c>
      <c r="C85" s="19" t="s">
        <v>23</v>
      </c>
      <c r="D85" s="20">
        <v>65.16</v>
      </c>
      <c r="E85" s="21" t="s">
        <v>24</v>
      </c>
      <c r="F85" s="19"/>
      <c r="G85" s="22"/>
    </row>
    <row r="86" spans="2:7" ht="15" thickBot="1" x14ac:dyDescent="0.35">
      <c r="B86" s="23">
        <v>22090900001</v>
      </c>
      <c r="C86" s="24" t="s">
        <v>25</v>
      </c>
      <c r="D86" s="25">
        <v>122.88</v>
      </c>
      <c r="E86" s="26" t="s">
        <v>16</v>
      </c>
      <c r="F86" s="24"/>
      <c r="G86" s="27"/>
    </row>
    <row r="87" spans="2:7" ht="15" thickBot="1" x14ac:dyDescent="0.35">
      <c r="B87" s="18">
        <v>22170000005</v>
      </c>
      <c r="C87" s="19" t="s">
        <v>26</v>
      </c>
      <c r="D87" s="20">
        <v>2.79</v>
      </c>
      <c r="E87" s="21" t="s">
        <v>27</v>
      </c>
      <c r="F87" s="19"/>
      <c r="G87" s="22"/>
    </row>
    <row r="88" spans="2:7" ht="15" thickBot="1" x14ac:dyDescent="0.35">
      <c r="B88" s="23">
        <v>22180900012</v>
      </c>
      <c r="C88" s="24" t="s">
        <v>28</v>
      </c>
      <c r="D88" s="28">
        <v>25693.09</v>
      </c>
      <c r="E88" s="26" t="s">
        <v>18</v>
      </c>
      <c r="F88" s="24"/>
      <c r="G88" s="27"/>
    </row>
  </sheetData>
  <hyperlinks>
    <hyperlink ref="D7" r:id="rId1" display="https://9751184-sb1.app.netsuite.com/app/accounting/transactions/invadjst.nl?id=166471&amp;fromreport=356&amp;summaryurl=%252Fapp%252Freporting%252Freportrunner.nl%253Fcr%253D356%2526reload%253DT%2526whence%253D%2526siaT%253D1785399405232%2526siaWhc%253D%25252Fapp%25252Faccounting%25252Ftransactions%25252Fworkord.nl%2526siaNv%253Dct2" xr:uid="{C36E3D42-248D-4E97-8D42-F42D99784E74}"/>
    <hyperlink ref="C7" r:id="rId2" display="https://9751184-sb1.app.netsuite.com/app/accounting/transactions/invadjst.nl?id=166471&amp;fromreport=356&amp;summaryurl=%252Fapp%252Freporting%252Freportrunner.nl%253Fcr%253D356%2526reload%253DT%2526whence%253D%2526siaT%253D1785399405232%2526siaWhc%253D%25252Fapp%25252Faccounting%25252Ftransactions%25252Fworkord.nl%2526siaNv%253Dct2" xr:uid="{6B108B59-818D-40AE-8514-9E51228AAC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jurapa</dc:creator>
  <cp:lastModifiedBy>jurapa</cp:lastModifiedBy>
  <dcterms:created xsi:type="dcterms:W3CDTF">2026-07-30T09:03:56Z</dcterms:created>
  <dcterms:modified xsi:type="dcterms:W3CDTF">2026-07-30T09:03:56Z</dcterms:modified>
</cp:coreProperties>
</file>